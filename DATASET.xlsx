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BITS DS &amp; AI\Trimester 1\Data Visualisation and Storytelling\Assignment\"/>
    </mc:Choice>
  </mc:AlternateContent>
  <xr:revisionPtr revIDLastSave="0" documentId="13_ncr:1_{7DA5A411-5E24-403B-BFC9-AE7315225D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VariableTypes" sheetId="2" r:id="rId2"/>
  </sheets>
  <definedNames>
    <definedName name="_xlnm._FilterDatabase" localSheetId="0" hidden="1">Sheet1!$A$1:$A$68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" i="1" l="1"/>
  <c r="G30" i="1"/>
  <c r="G27" i="1"/>
  <c r="G24" i="1"/>
  <c r="G22" i="1"/>
  <c r="G21" i="1"/>
  <c r="G19" i="1"/>
  <c r="G18" i="1"/>
  <c r="G16" i="1"/>
  <c r="G15" i="1"/>
  <c r="G12" i="1"/>
  <c r="G9" i="1"/>
  <c r="G6" i="1"/>
  <c r="F31" i="1"/>
  <c r="F30" i="1"/>
  <c r="F28" i="1"/>
  <c r="F27" i="1"/>
  <c r="F25" i="1"/>
  <c r="F24" i="1"/>
  <c r="F22" i="1"/>
  <c r="F21" i="1"/>
  <c r="F19" i="1"/>
  <c r="F18" i="1"/>
  <c r="F16" i="1"/>
  <c r="F15" i="1"/>
  <c r="F13" i="1"/>
  <c r="F12" i="1"/>
  <c r="F10" i="1"/>
  <c r="F9" i="1"/>
  <c r="F7" i="1"/>
  <c r="F6" i="1"/>
  <c r="F4" i="1"/>
  <c r="F3" i="1"/>
  <c r="E31" i="1"/>
  <c r="E30" i="1"/>
  <c r="E28" i="1"/>
  <c r="E27" i="1"/>
  <c r="E25" i="1"/>
  <c r="E24" i="1"/>
  <c r="E22" i="1"/>
  <c r="E21" i="1"/>
  <c r="E19" i="1"/>
  <c r="E18" i="1"/>
  <c r="E16" i="1"/>
  <c r="E15" i="1"/>
  <c r="E13" i="1"/>
  <c r="E12" i="1"/>
  <c r="E10" i="1"/>
  <c r="E9" i="1"/>
  <c r="E7" i="1"/>
  <c r="E6" i="1"/>
  <c r="E4" i="1"/>
  <c r="E3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2" i="1"/>
  <c r="L28" i="1"/>
  <c r="O28" i="1" s="1"/>
  <c r="P28" i="1" s="1"/>
  <c r="L25" i="1"/>
  <c r="O25" i="1" s="1"/>
  <c r="P25" i="1" s="1"/>
  <c r="L13" i="1"/>
  <c r="O13" i="1" s="1"/>
  <c r="P13" i="1" s="1"/>
  <c r="L22" i="1"/>
  <c r="O22" i="1" s="1"/>
  <c r="P22" i="1" s="1"/>
  <c r="L10" i="1"/>
  <c r="O10" i="1" s="1"/>
  <c r="P10" i="1" s="1"/>
  <c r="L19" i="1"/>
  <c r="O19" i="1" s="1"/>
  <c r="P19" i="1" s="1"/>
  <c r="L16" i="1"/>
  <c r="O16" i="1" s="1"/>
  <c r="P16" i="1" s="1"/>
  <c r="L7" i="1"/>
  <c r="O7" i="1" s="1"/>
  <c r="P7" i="1" s="1"/>
  <c r="L4" i="1"/>
  <c r="O4" i="1" s="1"/>
  <c r="P4" i="1" s="1"/>
  <c r="L31" i="1"/>
  <c r="O31" i="1" s="1"/>
  <c r="P31" i="1" s="1"/>
  <c r="M24" i="1"/>
  <c r="M12" i="1"/>
  <c r="M27" i="1"/>
  <c r="M21" i="1"/>
  <c r="M9" i="1"/>
  <c r="M30" i="1"/>
  <c r="M18" i="1"/>
  <c r="M15" i="1"/>
  <c r="M6" i="1"/>
  <c r="S3" i="1"/>
  <c r="M3" i="1"/>
  <c r="K3" i="1"/>
</calcChain>
</file>

<file path=xl/sharedStrings.xml><?xml version="1.0" encoding="utf-8"?>
<sst xmlns="http://schemas.openxmlformats.org/spreadsheetml/2006/main" count="169" uniqueCount="79">
  <si>
    <t>State Name</t>
  </si>
  <si>
    <t>NRI</t>
  </si>
  <si>
    <t>Year</t>
  </si>
  <si>
    <t>Bihar</t>
  </si>
  <si>
    <t>Buxar</t>
  </si>
  <si>
    <t>Haryana</t>
  </si>
  <si>
    <t>Karnataka</t>
  </si>
  <si>
    <t>Maharashtra</t>
  </si>
  <si>
    <t>Mumbai South Central</t>
  </si>
  <si>
    <t>Rajasthan</t>
  </si>
  <si>
    <t>Tamil Nadu</t>
  </si>
  <si>
    <t>Uttar Pradesh</t>
  </si>
  <si>
    <t>Baghpat</t>
  </si>
  <si>
    <t>West Bengal</t>
  </si>
  <si>
    <t>Kolkata Dakshin</t>
  </si>
  <si>
    <t>Telangana</t>
  </si>
  <si>
    <t>Hyderabad</t>
  </si>
  <si>
    <t>East Delhi</t>
  </si>
  <si>
    <t>Sirsa</t>
  </si>
  <si>
    <t>Jaipur Rural</t>
  </si>
  <si>
    <t>Chennai South</t>
  </si>
  <si>
    <t xml:space="preserve">East Delhi                    </t>
  </si>
  <si>
    <t>Bangalore Central</t>
  </si>
  <si>
    <t>Delhi</t>
  </si>
  <si>
    <t>Male_Electors</t>
  </si>
  <si>
    <t>Female_Electors</t>
  </si>
  <si>
    <t>TG_Electors</t>
  </si>
  <si>
    <t>Total_Electors</t>
  </si>
  <si>
    <t>Male_Voters</t>
  </si>
  <si>
    <t>Female_Voters</t>
  </si>
  <si>
    <t>TG_Voters</t>
  </si>
  <si>
    <t>Total_EVM_Voters</t>
  </si>
  <si>
    <t>Postal_Votes</t>
  </si>
  <si>
    <t>Total_Voter_Turnout(%)</t>
  </si>
  <si>
    <t>Male_Turnout(%)</t>
  </si>
  <si>
    <t>Female_Turnout(%)</t>
  </si>
  <si>
    <t>TG_Turnout(%)</t>
  </si>
  <si>
    <t>Postal_Votes_Turnout(%)</t>
  </si>
  <si>
    <t>Constituency_No.</t>
  </si>
  <si>
    <t>Constituency_Name</t>
  </si>
  <si>
    <t>Total_Voters</t>
  </si>
  <si>
    <t>Variable Name</t>
  </si>
  <si>
    <t>Type Of Variable</t>
  </si>
  <si>
    <t>DataType</t>
  </si>
  <si>
    <t>Description</t>
  </si>
  <si>
    <t>Derived metric</t>
  </si>
  <si>
    <t>Categorical (Ordinal)</t>
  </si>
  <si>
    <t>int</t>
  </si>
  <si>
    <t>Represents time periods in ordered categories (2014 &lt; 2019 &lt; 2024). Not a continuous numerical measure.</t>
  </si>
  <si>
    <t>State_Name</t>
  </si>
  <si>
    <t>Categorical (Nominal)</t>
  </si>
  <si>
    <t>string</t>
  </si>
  <si>
    <t>Identifies the state, values are labels</t>
  </si>
  <si>
    <t>Constituency_No</t>
  </si>
  <si>
    <t>Numeric, it acts as an identifier/label, not a measurable quantity.</t>
  </si>
  <si>
    <t xml:space="preserve">Name of the constituency; used to group/identify observations. </t>
  </si>
  <si>
    <t>Numerical (Discrete)</t>
  </si>
  <si>
    <t>Count of registered male electors</t>
  </si>
  <si>
    <t>for year 2019 &amp; 2014 derived from male voters and male turnout</t>
  </si>
  <si>
    <t>Count of registered female electors</t>
  </si>
  <si>
    <t>for year 2019 &amp; 2014 derived from female voters and female turnout</t>
  </si>
  <si>
    <t>Count of third-gender electors</t>
  </si>
  <si>
    <t>for year 2019 &amp; 2014 derived from TG voters and TG turnout</t>
  </si>
  <si>
    <t>Count of total electors</t>
  </si>
  <si>
    <t>Number of male voters who actually voted</t>
  </si>
  <si>
    <t>Number of female voters who voted</t>
  </si>
  <si>
    <t>Number of TG voters</t>
  </si>
  <si>
    <t>Total EVM votes</t>
  </si>
  <si>
    <t>Count of NRI voters</t>
  </si>
  <si>
    <t>Paper Ballot Votes</t>
  </si>
  <si>
    <t>Total votes = EVM + Postal</t>
  </si>
  <si>
    <t>Numerical (Continuous)</t>
  </si>
  <si>
    <t>float</t>
  </si>
  <si>
    <t>In Percentage (Total Votes/Total Electors)*100</t>
  </si>
  <si>
    <t>In Percentage (male votes/male electors)*100</t>
  </si>
  <si>
    <t>In Percentage (female votes/female electors)*100</t>
  </si>
  <si>
    <t>In Percentage  (TG votes /TG electors)*100</t>
  </si>
  <si>
    <t>In Percentage (postal votes/total electors)*100</t>
  </si>
  <si>
    <t>derived from postal electors and postal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</si>
</sst>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>
    <font>
      <sz val="11"/>
      <color theme="1"/>
      <name val="Calibri"/>
      <family val="2"/>
      <scheme val="minor"/>
    </font>
    <font>
      <sz val="11"/>
      <color indexed="8"/>
      <name val="Times New Roman, serif"/>
    </font>
    <font>
      <sz val="11"/>
      <color rgb="FF000000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indexed="8"/>
      <name val="Times New Roman"/>
      <family val="1"/>
    </font>
    <font>
      <sz val="10"/>
      <color indexed="8"/>
      <name val="Times New Roman,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zoomScale="80" zoomScaleNormal="80" workbookViewId="0">
      <selection activeCell="I33" sqref="I33"/>
    </sheetView>
  </sheetViews>
  <sheetFormatPr defaultRowHeight="14.4"/>
  <cols>
    <col min="1" max="1" width="8.88671875" style="3"/>
    <col min="2" max="2" width="13.44140625" style="3" customWidth="1"/>
    <col min="3" max="3" width="8.88671875" style="3"/>
    <col min="4" max="4" width="20.109375" style="3" customWidth="1"/>
    <col min="5" max="25" width="8.88671875" style="3"/>
    <col min="26" max="26" width="12" style="3" bestFit="1" customWidth="1"/>
    <col min="27" max="16384" width="8.88671875" style="3"/>
  </cols>
  <sheetData>
    <row r="1" spans="1:26" s="2" customFormat="1" ht="41.4">
      <c r="A1" s="2" t="s">
        <v>2</v>
      </c>
      <c r="B1" s="1" t="s">
        <v>0</v>
      </c>
      <c r="C1" s="1" t="s">
        <v>38</v>
      </c>
      <c r="D1" s="1" t="s">
        <v>39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</v>
      </c>
      <c r="N1" s="1" t="s">
        <v>32</v>
      </c>
      <c r="O1" s="1" t="s">
        <v>40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V1" s="1"/>
      <c r="W1" s="1"/>
      <c r="X1" s="1"/>
      <c r="Y1" s="1"/>
      <c r="Z1" s="1"/>
    </row>
    <row r="2" spans="1:26">
      <c r="A2" s="3">
        <v>2024</v>
      </c>
      <c r="B2" s="4" t="s">
        <v>3</v>
      </c>
      <c r="C2" s="3">
        <v>33</v>
      </c>
      <c r="D2" s="4" t="s">
        <v>4</v>
      </c>
      <c r="E2" s="3">
        <v>1016998</v>
      </c>
      <c r="F2" s="3">
        <v>917337</v>
      </c>
      <c r="G2" s="3">
        <v>17</v>
      </c>
      <c r="H2" s="3">
        <v>1934352</v>
      </c>
      <c r="I2" s="3">
        <v>562516</v>
      </c>
      <c r="J2" s="3">
        <v>503778</v>
      </c>
      <c r="K2" s="3">
        <v>6</v>
      </c>
      <c r="L2" s="3">
        <v>1066300</v>
      </c>
      <c r="M2" s="3">
        <v>0</v>
      </c>
      <c r="N2" s="3">
        <v>7786</v>
      </c>
      <c r="O2" s="3">
        <v>1074086</v>
      </c>
      <c r="P2" s="3">
        <v>55.53</v>
      </c>
      <c r="Q2" s="3">
        <v>55.31</v>
      </c>
      <c r="R2" s="3">
        <v>54.92</v>
      </c>
      <c r="S2" s="3">
        <v>35.29</v>
      </c>
      <c r="T2" s="3">
        <f>(N2/H2)*100</f>
        <v>0.40251205571684989</v>
      </c>
      <c r="Z2" s="5"/>
    </row>
    <row r="3" spans="1:26">
      <c r="A3" s="3">
        <v>2019</v>
      </c>
      <c r="B3" s="4" t="s">
        <v>3</v>
      </c>
      <c r="C3" s="3">
        <v>33</v>
      </c>
      <c r="D3" s="4" t="s">
        <v>4</v>
      </c>
      <c r="E3" s="3">
        <f>I3/(Q3/100)</f>
        <v>971383.99999999988</v>
      </c>
      <c r="F3" s="3">
        <f>J3/(R3/100)</f>
        <v>857968</v>
      </c>
      <c r="G3" s="3">
        <v>21</v>
      </c>
      <c r="H3" s="3">
        <v>1829373</v>
      </c>
      <c r="I3" s="3">
        <v>543539</v>
      </c>
      <c r="J3" s="3">
        <v>436752</v>
      </c>
      <c r="K3" s="3">
        <f>(0)</f>
        <v>0</v>
      </c>
      <c r="L3" s="3">
        <v>980291</v>
      </c>
      <c r="M3" s="3">
        <f>(0)</f>
        <v>0</v>
      </c>
      <c r="N3" s="3">
        <v>6671</v>
      </c>
      <c r="O3" s="3">
        <v>986962</v>
      </c>
      <c r="P3" s="3">
        <v>53.950834520898695</v>
      </c>
      <c r="Q3" s="3">
        <v>55.955111469820388</v>
      </c>
      <c r="R3" s="3">
        <v>50.905395073009721</v>
      </c>
      <c r="S3" s="3">
        <f>(0)</f>
        <v>0</v>
      </c>
      <c r="T3" s="3">
        <f t="shared" ref="T3:T31" si="0">(N3/H3)*100</f>
        <v>0.36466046016859327</v>
      </c>
      <c r="Z3" s="5"/>
    </row>
    <row r="4" spans="1:26">
      <c r="A4" s="3">
        <v>2014</v>
      </c>
      <c r="B4" s="4" t="s">
        <v>3</v>
      </c>
      <c r="C4" s="3">
        <v>33</v>
      </c>
      <c r="D4" s="4" t="s">
        <v>4</v>
      </c>
      <c r="E4" s="3">
        <f>I4/(Q4/100)</f>
        <v>872599.99999999942</v>
      </c>
      <c r="F4" s="3">
        <f>J4/(R4/100)</f>
        <v>760222.99999999965</v>
      </c>
      <c r="G4" s="3">
        <v>0</v>
      </c>
      <c r="H4" s="3">
        <v>1640671</v>
      </c>
      <c r="I4" s="3">
        <v>494435</v>
      </c>
      <c r="J4" s="3">
        <v>394512</v>
      </c>
      <c r="K4" s="3">
        <v>0</v>
      </c>
      <c r="L4" s="3">
        <f t="shared" ref="L4" si="1">I4+J4+K4</f>
        <v>888947</v>
      </c>
      <c r="M4" s="3">
        <v>0</v>
      </c>
      <c r="N4" s="3">
        <v>205</v>
      </c>
      <c r="O4" s="3">
        <f t="shared" ref="O4" si="2">L4+N4</f>
        <v>889152</v>
      </c>
      <c r="P4" s="3">
        <f>O4/H4*100</f>
        <v>54.194411920488626</v>
      </c>
      <c r="Q4" s="3">
        <v>56.662273664909499</v>
      </c>
      <c r="R4" s="3">
        <v>51.894246819683197</v>
      </c>
      <c r="S4" s="3">
        <v>0</v>
      </c>
      <c r="T4" s="3">
        <f t="shared" si="0"/>
        <v>1.2494887762385025E-2</v>
      </c>
      <c r="Z4" s="5"/>
    </row>
    <row r="5" spans="1:26">
      <c r="A5" s="3">
        <v>2024</v>
      </c>
      <c r="B5" s="4" t="s">
        <v>5</v>
      </c>
      <c r="C5" s="3">
        <v>3</v>
      </c>
      <c r="D5" s="4" t="s">
        <v>18</v>
      </c>
      <c r="E5" s="3">
        <v>1026726</v>
      </c>
      <c r="F5" s="3">
        <v>914550</v>
      </c>
      <c r="G5" s="3">
        <v>43</v>
      </c>
      <c r="H5" s="3">
        <v>1941319</v>
      </c>
      <c r="I5" s="3">
        <v>729134</v>
      </c>
      <c r="J5" s="3">
        <v>622794</v>
      </c>
      <c r="K5" s="3">
        <v>21</v>
      </c>
      <c r="L5" s="3">
        <v>1351949</v>
      </c>
      <c r="M5" s="3">
        <v>0</v>
      </c>
      <c r="N5" s="3">
        <v>4409</v>
      </c>
      <c r="O5" s="3">
        <v>1356358</v>
      </c>
      <c r="P5" s="3">
        <v>69.87</v>
      </c>
      <c r="Q5" s="3">
        <v>71.02</v>
      </c>
      <c r="R5" s="3">
        <v>68.099999999999994</v>
      </c>
      <c r="S5" s="3">
        <v>48.84</v>
      </c>
      <c r="T5" s="3">
        <f t="shared" si="0"/>
        <v>0.2271136273842681</v>
      </c>
      <c r="Z5" s="5"/>
    </row>
    <row r="6" spans="1:26">
      <c r="A6" s="3">
        <v>2019</v>
      </c>
      <c r="B6" s="4" t="s">
        <v>5</v>
      </c>
      <c r="C6" s="3">
        <v>3</v>
      </c>
      <c r="D6" s="4" t="s">
        <v>18</v>
      </c>
      <c r="E6" s="3">
        <f>I6/(Q6/100)</f>
        <v>959030.00000000023</v>
      </c>
      <c r="F6" s="3">
        <f>J6/(R6/100)</f>
        <v>844312</v>
      </c>
      <c r="G6" s="3">
        <f>K6/(S6/100)</f>
        <v>7</v>
      </c>
      <c r="H6" s="3">
        <v>1803349</v>
      </c>
      <c r="I6" s="3">
        <v>730867</v>
      </c>
      <c r="J6" s="3">
        <v>636499</v>
      </c>
      <c r="K6" s="3">
        <v>4</v>
      </c>
      <c r="L6" s="3">
        <v>1367370</v>
      </c>
      <c r="M6" s="3">
        <f>(0)</f>
        <v>0</v>
      </c>
      <c r="N6" s="3">
        <v>2946</v>
      </c>
      <c r="O6" s="3">
        <v>1370316</v>
      </c>
      <c r="P6" s="3">
        <v>75.987288095648708</v>
      </c>
      <c r="Q6" s="3">
        <v>76.208981992221297</v>
      </c>
      <c r="R6" s="3">
        <v>75.386705388529364</v>
      </c>
      <c r="S6" s="3">
        <v>57.142857142857139</v>
      </c>
      <c r="T6" s="3">
        <f t="shared" si="0"/>
        <v>0.16336272124807788</v>
      </c>
      <c r="Z6" s="5"/>
    </row>
    <row r="7" spans="1:26">
      <c r="A7" s="3">
        <v>2014</v>
      </c>
      <c r="B7" s="4" t="s">
        <v>5</v>
      </c>
      <c r="C7" s="3">
        <v>3</v>
      </c>
      <c r="D7" s="4" t="s">
        <v>18</v>
      </c>
      <c r="E7" s="3">
        <f>I7/(Q7/100)</f>
        <v>884818.00000000035</v>
      </c>
      <c r="F7" s="3">
        <f>J7/(R7/100)</f>
        <v>773756.99999999977</v>
      </c>
      <c r="G7" s="3">
        <v>0</v>
      </c>
      <c r="H7" s="3">
        <v>1660556</v>
      </c>
      <c r="I7" s="3">
        <v>692765</v>
      </c>
      <c r="J7" s="3">
        <v>586098</v>
      </c>
      <c r="K7" s="3">
        <v>0</v>
      </c>
      <c r="L7" s="3">
        <f t="shared" ref="L7" si="3">I7+J7+K7</f>
        <v>1278863</v>
      </c>
      <c r="M7" s="3">
        <v>0</v>
      </c>
      <c r="N7" s="3">
        <v>408</v>
      </c>
      <c r="O7" s="3">
        <f t="shared" ref="O7" si="4">L7+N7</f>
        <v>1279271</v>
      </c>
      <c r="P7" s="3">
        <f>O7/H7*100</f>
        <v>77.038714743736435</v>
      </c>
      <c r="Q7" s="3">
        <v>78.294632342470393</v>
      </c>
      <c r="R7" s="3">
        <v>75.747036860409693</v>
      </c>
      <c r="S7" s="3">
        <v>0</v>
      </c>
      <c r="T7" s="3">
        <f t="shared" si="0"/>
        <v>2.4570083755079623E-2</v>
      </c>
      <c r="Z7" s="5"/>
    </row>
    <row r="8" spans="1:26">
      <c r="A8" s="3">
        <v>2024</v>
      </c>
      <c r="B8" s="4" t="s">
        <v>9</v>
      </c>
      <c r="C8" s="3">
        <v>6</v>
      </c>
      <c r="D8" s="4" t="s">
        <v>19</v>
      </c>
      <c r="E8" s="3">
        <v>1154768</v>
      </c>
      <c r="F8" s="3">
        <v>1039779</v>
      </c>
      <c r="G8" s="3">
        <v>8</v>
      </c>
      <c r="H8" s="3">
        <v>2194555</v>
      </c>
      <c r="I8" s="3">
        <v>662155</v>
      </c>
      <c r="J8" s="3">
        <v>576600</v>
      </c>
      <c r="K8" s="3">
        <v>7</v>
      </c>
      <c r="L8" s="3">
        <v>1238762</v>
      </c>
      <c r="M8" s="3">
        <v>0</v>
      </c>
      <c r="N8" s="3">
        <v>26826</v>
      </c>
      <c r="O8" s="3">
        <v>1265588</v>
      </c>
      <c r="P8" s="3">
        <v>57.67</v>
      </c>
      <c r="Q8" s="3">
        <v>57.34</v>
      </c>
      <c r="R8" s="3">
        <v>55.45</v>
      </c>
      <c r="S8" s="3">
        <v>87.5</v>
      </c>
      <c r="T8" s="3">
        <f t="shared" si="0"/>
        <v>1.2223890492605562</v>
      </c>
      <c r="Z8" s="5"/>
    </row>
    <row r="9" spans="1:26">
      <c r="A9" s="3">
        <v>2019</v>
      </c>
      <c r="B9" s="4" t="s">
        <v>9</v>
      </c>
      <c r="C9" s="3">
        <v>6</v>
      </c>
      <c r="D9" s="4" t="s">
        <v>19</v>
      </c>
      <c r="E9" s="3">
        <f>I9/(Q9/100)</f>
        <v>1031243.9999999999</v>
      </c>
      <c r="F9" s="3">
        <f>J9/(R9/100)</f>
        <v>921293.00000000012</v>
      </c>
      <c r="G9" s="3">
        <f>K9/(S9/100)</f>
        <v>5</v>
      </c>
      <c r="H9" s="3">
        <v>1952542</v>
      </c>
      <c r="I9" s="3">
        <v>675930</v>
      </c>
      <c r="J9" s="3">
        <v>587365</v>
      </c>
      <c r="K9" s="3">
        <v>1</v>
      </c>
      <c r="L9" s="3">
        <v>1263296</v>
      </c>
      <c r="M9" s="3">
        <f>(0)</f>
        <v>0</v>
      </c>
      <c r="N9" s="3">
        <v>16371</v>
      </c>
      <c r="O9" s="3">
        <v>1279667</v>
      </c>
      <c r="P9" s="3">
        <v>65.538513384091104</v>
      </c>
      <c r="Q9" s="3">
        <v>65.545108626086559</v>
      </c>
      <c r="R9" s="3">
        <v>63.754419061037041</v>
      </c>
      <c r="S9" s="3">
        <v>20</v>
      </c>
      <c r="T9" s="3">
        <f t="shared" si="0"/>
        <v>0.83844547261979518</v>
      </c>
      <c r="Z9" s="5"/>
    </row>
    <row r="10" spans="1:26">
      <c r="A10" s="3">
        <v>2014</v>
      </c>
      <c r="B10" s="4" t="s">
        <v>9</v>
      </c>
      <c r="C10" s="3">
        <v>6</v>
      </c>
      <c r="D10" s="4" t="s">
        <v>19</v>
      </c>
      <c r="E10" s="3">
        <f>I10/(Q10/100)</f>
        <v>904315</v>
      </c>
      <c r="F10" s="3">
        <f>J10/(R10/100)</f>
        <v>792459.99999999977</v>
      </c>
      <c r="G10" s="3">
        <v>0</v>
      </c>
      <c r="H10" s="3">
        <v>1700306</v>
      </c>
      <c r="I10" s="3">
        <v>556476</v>
      </c>
      <c r="J10" s="3">
        <v>452621</v>
      </c>
      <c r="K10" s="3">
        <v>0</v>
      </c>
      <c r="L10" s="3">
        <f t="shared" ref="L10" si="5">I10+J10+K10</f>
        <v>1009097</v>
      </c>
      <c r="M10" s="3">
        <v>0</v>
      </c>
      <c r="N10" s="3">
        <v>7133</v>
      </c>
      <c r="O10" s="3">
        <f t="shared" ref="O10" si="6">L10+N10</f>
        <v>1016230</v>
      </c>
      <c r="P10" s="3">
        <f>O10/H10*100</f>
        <v>59.767477148230967</v>
      </c>
      <c r="Q10" s="3">
        <v>61.535637471456297</v>
      </c>
      <c r="R10" s="3">
        <v>57.115942760517903</v>
      </c>
      <c r="S10" s="3">
        <v>0</v>
      </c>
      <c r="T10" s="3">
        <f t="shared" si="0"/>
        <v>0.41951272300397691</v>
      </c>
      <c r="Z10" s="5"/>
    </row>
    <row r="11" spans="1:26">
      <c r="A11" s="3">
        <v>2024</v>
      </c>
      <c r="B11" s="4" t="s">
        <v>11</v>
      </c>
      <c r="C11" s="3">
        <v>11</v>
      </c>
      <c r="D11" s="4" t="s">
        <v>12</v>
      </c>
      <c r="E11" s="3">
        <v>909204</v>
      </c>
      <c r="F11" s="3">
        <v>755930</v>
      </c>
      <c r="G11" s="3">
        <v>74</v>
      </c>
      <c r="H11" s="3">
        <v>1665208</v>
      </c>
      <c r="I11" s="3">
        <v>527151</v>
      </c>
      <c r="J11" s="3">
        <v>402018</v>
      </c>
      <c r="K11" s="3">
        <v>8</v>
      </c>
      <c r="L11" s="3">
        <v>929177</v>
      </c>
      <c r="M11" s="3">
        <v>0</v>
      </c>
      <c r="N11" s="3">
        <v>5567</v>
      </c>
      <c r="O11" s="3">
        <v>934744</v>
      </c>
      <c r="P11" s="3">
        <v>56.13</v>
      </c>
      <c r="Q11" s="3">
        <v>57.98</v>
      </c>
      <c r="R11" s="3">
        <v>53.18</v>
      </c>
      <c r="S11" s="3">
        <v>10.81</v>
      </c>
      <c r="T11" s="3">
        <f t="shared" si="0"/>
        <v>0.33431259037909977</v>
      </c>
      <c r="Z11" s="5"/>
    </row>
    <row r="12" spans="1:26">
      <c r="A12" s="3">
        <v>2019</v>
      </c>
      <c r="B12" s="4" t="s">
        <v>11</v>
      </c>
      <c r="C12" s="3">
        <v>11</v>
      </c>
      <c r="D12" s="4" t="s">
        <v>12</v>
      </c>
      <c r="E12" s="3">
        <f>I12/(Q12/100)</f>
        <v>897149.99999999977</v>
      </c>
      <c r="F12" s="3">
        <f>J12/(R12/100)</f>
        <v>719241</v>
      </c>
      <c r="G12" s="3">
        <f>K12/(S12/100)</f>
        <v>85</v>
      </c>
      <c r="H12" s="3">
        <v>1616476</v>
      </c>
      <c r="I12" s="3">
        <v>581282</v>
      </c>
      <c r="J12" s="3">
        <v>455777</v>
      </c>
      <c r="K12" s="3">
        <v>2</v>
      </c>
      <c r="L12" s="3">
        <v>1037061</v>
      </c>
      <c r="M12" s="3">
        <f>(0)</f>
        <v>0</v>
      </c>
      <c r="N12" s="3">
        <v>8546</v>
      </c>
      <c r="O12" s="3">
        <v>1045607</v>
      </c>
      <c r="P12" s="3">
        <v>64.684350401738101</v>
      </c>
      <c r="Q12" s="3">
        <v>64.792063757454173</v>
      </c>
      <c r="R12" s="3">
        <v>63.369162770198031</v>
      </c>
      <c r="S12" s="3">
        <v>2.3529411764705883</v>
      </c>
      <c r="T12" s="3">
        <f t="shared" si="0"/>
        <v>0.52868090834630399</v>
      </c>
      <c r="Z12" s="5"/>
    </row>
    <row r="13" spans="1:26">
      <c r="A13" s="3">
        <v>2014</v>
      </c>
      <c r="B13" s="4" t="s">
        <v>11</v>
      </c>
      <c r="C13" s="3">
        <v>11</v>
      </c>
      <c r="D13" s="4" t="s">
        <v>12</v>
      </c>
      <c r="E13" s="3">
        <f>I13/(Q13/100)</f>
        <v>845988.00000000035</v>
      </c>
      <c r="F13" s="3">
        <f>J13/(R13/100)</f>
        <v>652330.00000000012</v>
      </c>
      <c r="G13" s="3">
        <v>0</v>
      </c>
      <c r="H13" s="3">
        <v>1505175</v>
      </c>
      <c r="I13" s="3">
        <v>582431</v>
      </c>
      <c r="J13" s="3">
        <v>421180</v>
      </c>
      <c r="K13" s="3">
        <v>0</v>
      </c>
      <c r="L13" s="3">
        <f t="shared" ref="L13" si="7">I13+J13+K13</f>
        <v>1003611</v>
      </c>
      <c r="M13" s="3">
        <v>0</v>
      </c>
      <c r="N13" s="3">
        <v>1155</v>
      </c>
      <c r="O13" s="3">
        <f t="shared" ref="O13" si="8">L13+N13</f>
        <v>1004766</v>
      </c>
      <c r="P13" s="3">
        <f>O13/H13*100</f>
        <v>66.754098360655732</v>
      </c>
      <c r="Q13" s="3">
        <v>68.846248410142906</v>
      </c>
      <c r="R13" s="3">
        <v>64.5654806616283</v>
      </c>
      <c r="S13" s="3">
        <v>0</v>
      </c>
      <c r="T13" s="3">
        <f t="shared" si="0"/>
        <v>7.6735263341471918E-2</v>
      </c>
      <c r="Z13" s="5"/>
    </row>
    <row r="14" spans="1:26">
      <c r="A14" s="3">
        <v>2024</v>
      </c>
      <c r="B14" s="4" t="s">
        <v>6</v>
      </c>
      <c r="C14" s="3">
        <v>25</v>
      </c>
      <c r="D14" s="4" t="s">
        <v>22</v>
      </c>
      <c r="E14" s="3">
        <v>1255088</v>
      </c>
      <c r="F14" s="3">
        <v>1178699</v>
      </c>
      <c r="G14" s="3">
        <v>467</v>
      </c>
      <c r="H14" s="3">
        <v>2434254</v>
      </c>
      <c r="I14" s="3">
        <v>668826</v>
      </c>
      <c r="J14" s="3">
        <v>646676</v>
      </c>
      <c r="K14" s="3">
        <v>85</v>
      </c>
      <c r="L14" s="3">
        <v>1315587</v>
      </c>
      <c r="M14" s="3">
        <v>0</v>
      </c>
      <c r="N14" s="3">
        <v>2759</v>
      </c>
      <c r="O14" s="3">
        <v>1318346</v>
      </c>
      <c r="P14" s="3">
        <v>54.16</v>
      </c>
      <c r="Q14" s="3">
        <v>53.29</v>
      </c>
      <c r="R14" s="3">
        <v>54.86</v>
      </c>
      <c r="S14" s="3">
        <v>18.2</v>
      </c>
      <c r="T14" s="3">
        <f t="shared" si="0"/>
        <v>0.11334067849944993</v>
      </c>
      <c r="Z14" s="5"/>
    </row>
    <row r="15" spans="1:26">
      <c r="A15" s="3">
        <v>2019</v>
      </c>
      <c r="B15" s="4" t="s">
        <v>6</v>
      </c>
      <c r="C15" s="3">
        <v>25</v>
      </c>
      <c r="D15" s="4" t="s">
        <v>22</v>
      </c>
      <c r="E15" s="3">
        <f t="shared" ref="E15:G16" si="9">I15/(Q15/100)</f>
        <v>1146173</v>
      </c>
      <c r="F15" s="3">
        <f t="shared" si="9"/>
        <v>1058247</v>
      </c>
      <c r="G15" s="3">
        <f t="shared" si="9"/>
        <v>397</v>
      </c>
      <c r="H15" s="3">
        <v>2204817</v>
      </c>
      <c r="I15" s="3">
        <v>621875</v>
      </c>
      <c r="J15" s="3">
        <v>572763</v>
      </c>
      <c r="K15" s="3">
        <v>67</v>
      </c>
      <c r="L15" s="3">
        <v>1194705</v>
      </c>
      <c r="M15" s="3">
        <f>(0)</f>
        <v>0</v>
      </c>
      <c r="N15" s="3">
        <v>2982</v>
      </c>
      <c r="O15" s="3">
        <v>1197687</v>
      </c>
      <c r="P15" s="3">
        <v>54.321379053227545</v>
      </c>
      <c r="Q15" s="3">
        <v>54.256643630586311</v>
      </c>
      <c r="R15" s="3">
        <v>54.123753717232368</v>
      </c>
      <c r="S15" s="3">
        <v>16.876574307304786</v>
      </c>
      <c r="T15" s="3">
        <f t="shared" si="0"/>
        <v>0.13524932001159279</v>
      </c>
      <c r="Z15" s="5"/>
    </row>
    <row r="16" spans="1:26">
      <c r="A16" s="3">
        <v>2014</v>
      </c>
      <c r="B16" s="4" t="s">
        <v>6</v>
      </c>
      <c r="C16" s="3">
        <v>25</v>
      </c>
      <c r="D16" s="4" t="s">
        <v>22</v>
      </c>
      <c r="E16" s="3">
        <f t="shared" si="9"/>
        <v>1009822.0000000003</v>
      </c>
      <c r="F16" s="3">
        <f t="shared" si="9"/>
        <v>920454</v>
      </c>
      <c r="G16" s="3">
        <f t="shared" si="9"/>
        <v>299</v>
      </c>
      <c r="H16" s="3">
        <v>1931456</v>
      </c>
      <c r="I16" s="3">
        <v>573657</v>
      </c>
      <c r="J16" s="3">
        <v>500273</v>
      </c>
      <c r="K16" s="3">
        <v>27</v>
      </c>
      <c r="L16" s="3">
        <f t="shared" ref="L16" si="10">I16+J16+K16</f>
        <v>1073957</v>
      </c>
      <c r="M16" s="3">
        <v>0</v>
      </c>
      <c r="N16" s="3">
        <v>645</v>
      </c>
      <c r="O16" s="3">
        <f t="shared" ref="O16" si="11">L16+N16</f>
        <v>1074602</v>
      </c>
      <c r="P16" s="3">
        <f>O16/H16*100</f>
        <v>55.636887405149274</v>
      </c>
      <c r="Q16" s="3">
        <v>56.807734432404899</v>
      </c>
      <c r="R16" s="3">
        <v>54.350679121390101</v>
      </c>
      <c r="S16" s="3">
        <v>9.0301003344481607</v>
      </c>
      <c r="T16" s="3">
        <f t="shared" si="0"/>
        <v>3.3394496172835415E-2</v>
      </c>
      <c r="Z16" s="5"/>
    </row>
    <row r="17" spans="1:26">
      <c r="A17" s="3">
        <v>2024</v>
      </c>
      <c r="B17" s="4" t="s">
        <v>7</v>
      </c>
      <c r="C17" s="3">
        <v>30</v>
      </c>
      <c r="D17" s="4" t="s">
        <v>8</v>
      </c>
      <c r="E17" s="3">
        <v>787907</v>
      </c>
      <c r="F17" s="3">
        <v>686531</v>
      </c>
      <c r="G17" s="3">
        <v>222</v>
      </c>
      <c r="H17" s="3">
        <v>1474660</v>
      </c>
      <c r="I17" s="3">
        <v>426666</v>
      </c>
      <c r="J17" s="3">
        <v>363596</v>
      </c>
      <c r="K17" s="3">
        <v>76</v>
      </c>
      <c r="L17" s="3">
        <v>790338</v>
      </c>
      <c r="M17" s="3">
        <v>2</v>
      </c>
      <c r="N17" s="3">
        <v>4534</v>
      </c>
      <c r="O17" s="3">
        <v>794872</v>
      </c>
      <c r="P17" s="3">
        <v>53.9</v>
      </c>
      <c r="Q17" s="3">
        <v>54.15</v>
      </c>
      <c r="R17" s="3">
        <v>52.96</v>
      </c>
      <c r="S17" s="3">
        <v>34.229999999999997</v>
      </c>
      <c r="T17" s="3">
        <f t="shared" si="0"/>
        <v>0.30746070280607057</v>
      </c>
      <c r="Z17" s="5"/>
    </row>
    <row r="18" spans="1:26">
      <c r="A18" s="3">
        <v>2019</v>
      </c>
      <c r="B18" s="4" t="s">
        <v>7</v>
      </c>
      <c r="C18" s="3">
        <v>30</v>
      </c>
      <c r="D18" s="4" t="s">
        <v>8</v>
      </c>
      <c r="E18" s="3">
        <f t="shared" ref="E18:G19" si="12">I18/(Q18/100)</f>
        <v>777942.99999999988</v>
      </c>
      <c r="F18" s="3">
        <f t="shared" si="12"/>
        <v>662346</v>
      </c>
      <c r="G18" s="3">
        <f t="shared" si="12"/>
        <v>91</v>
      </c>
      <c r="H18" s="3">
        <v>1440380</v>
      </c>
      <c r="I18" s="3">
        <v>432252</v>
      </c>
      <c r="J18" s="3">
        <v>363195</v>
      </c>
      <c r="K18" s="3">
        <v>31</v>
      </c>
      <c r="L18" s="3">
        <v>795478</v>
      </c>
      <c r="M18" s="3">
        <f>(0)</f>
        <v>0</v>
      </c>
      <c r="N18" s="3">
        <v>2425</v>
      </c>
      <c r="O18" s="3">
        <v>797903</v>
      </c>
      <c r="P18" s="3">
        <v>55.395312348130354</v>
      </c>
      <c r="Q18" s="3">
        <v>55.563453877726268</v>
      </c>
      <c r="R18" s="3">
        <v>54.834633258146049</v>
      </c>
      <c r="S18" s="3">
        <v>34.065934065934066</v>
      </c>
      <c r="T18" s="3">
        <f t="shared" si="0"/>
        <v>0.16835834987989282</v>
      </c>
      <c r="Z18" s="5"/>
    </row>
    <row r="19" spans="1:26">
      <c r="A19" s="3">
        <v>2014</v>
      </c>
      <c r="B19" s="4" t="s">
        <v>7</v>
      </c>
      <c r="C19" s="3">
        <v>30</v>
      </c>
      <c r="D19" s="4" t="s">
        <v>8</v>
      </c>
      <c r="E19" s="3">
        <f t="shared" si="12"/>
        <v>793601.99999999988</v>
      </c>
      <c r="F19" s="3">
        <f t="shared" si="12"/>
        <v>653928.00000000023</v>
      </c>
      <c r="G19" s="3">
        <f t="shared" si="12"/>
        <v>59.000000000000057</v>
      </c>
      <c r="H19" s="3">
        <v>1447886</v>
      </c>
      <c r="I19" s="3">
        <v>424310</v>
      </c>
      <c r="J19" s="3">
        <v>343790</v>
      </c>
      <c r="K19" s="3">
        <v>30</v>
      </c>
      <c r="L19" s="3">
        <f t="shared" ref="L19" si="13">I19+J19+K19</f>
        <v>768130</v>
      </c>
      <c r="M19" s="3">
        <v>0</v>
      </c>
      <c r="N19" s="3">
        <v>620</v>
      </c>
      <c r="O19" s="3">
        <f t="shared" ref="O19" si="14">L19+N19</f>
        <v>768750</v>
      </c>
      <c r="P19" s="3">
        <f>O19/H19*100</f>
        <v>53.094649716897599</v>
      </c>
      <c r="Q19" s="3">
        <v>53.466347111020397</v>
      </c>
      <c r="R19" s="3">
        <v>52.573066147955103</v>
      </c>
      <c r="S19" s="3">
        <v>50.847457627118601</v>
      </c>
      <c r="T19" s="3">
        <f t="shared" si="0"/>
        <v>4.2821050828587337E-2</v>
      </c>
      <c r="Z19" s="5"/>
    </row>
    <row r="20" spans="1:26">
      <c r="A20" s="3">
        <v>2024</v>
      </c>
      <c r="B20" s="4" t="s">
        <v>10</v>
      </c>
      <c r="C20" s="3">
        <v>3</v>
      </c>
      <c r="D20" s="4" t="s">
        <v>20</v>
      </c>
      <c r="E20" s="3">
        <v>1001058</v>
      </c>
      <c r="F20" s="3">
        <v>1021859</v>
      </c>
      <c r="G20" s="3">
        <v>464</v>
      </c>
      <c r="H20" s="3">
        <v>2023381</v>
      </c>
      <c r="I20" s="3">
        <v>552034</v>
      </c>
      <c r="J20" s="3">
        <v>543797</v>
      </c>
      <c r="K20" s="3">
        <v>95</v>
      </c>
      <c r="L20" s="3">
        <v>1095926</v>
      </c>
      <c r="M20" s="3">
        <v>0</v>
      </c>
      <c r="N20" s="3">
        <v>4079</v>
      </c>
      <c r="O20" s="3">
        <v>1100005</v>
      </c>
      <c r="P20" s="3">
        <v>54.36</v>
      </c>
      <c r="Q20" s="3">
        <v>55.15</v>
      </c>
      <c r="R20" s="3">
        <v>53.22</v>
      </c>
      <c r="S20" s="3">
        <v>20.47</v>
      </c>
      <c r="T20" s="3">
        <f t="shared" si="0"/>
        <v>0.20159327383226394</v>
      </c>
      <c r="Z20" s="5"/>
    </row>
    <row r="21" spans="1:26">
      <c r="A21" s="3">
        <v>2019</v>
      </c>
      <c r="B21" s="4" t="s">
        <v>10</v>
      </c>
      <c r="C21" s="3">
        <v>3</v>
      </c>
      <c r="D21" s="4" t="s">
        <v>20</v>
      </c>
      <c r="E21" s="3">
        <f t="shared" ref="E21:G22" si="15">I21/(Q21/100)</f>
        <v>979658</v>
      </c>
      <c r="F21" s="3">
        <f t="shared" si="15"/>
        <v>993485.99999999988</v>
      </c>
      <c r="G21" s="3">
        <f t="shared" si="15"/>
        <v>389</v>
      </c>
      <c r="H21" s="3">
        <v>1973533</v>
      </c>
      <c r="I21" s="3">
        <v>567542</v>
      </c>
      <c r="J21" s="3">
        <v>555856</v>
      </c>
      <c r="K21" s="3">
        <v>12</v>
      </c>
      <c r="L21" s="3">
        <v>1123410</v>
      </c>
      <c r="M21" s="3">
        <f>(0)</f>
        <v>0</v>
      </c>
      <c r="N21" s="3">
        <v>2931</v>
      </c>
      <c r="O21" s="3">
        <v>1126341</v>
      </c>
      <c r="P21" s="3">
        <v>57.072316500408149</v>
      </c>
      <c r="Q21" s="3">
        <v>57.932666297830473</v>
      </c>
      <c r="R21" s="3">
        <v>55.95005868225622</v>
      </c>
      <c r="S21" s="3">
        <v>3.0848329048843186</v>
      </c>
      <c r="T21" s="3">
        <f t="shared" si="0"/>
        <v>0.14851537825817962</v>
      </c>
      <c r="Z21" s="5"/>
    </row>
    <row r="22" spans="1:26">
      <c r="A22" s="3">
        <v>2014</v>
      </c>
      <c r="B22" s="4" t="s">
        <v>10</v>
      </c>
      <c r="C22" s="3">
        <v>3</v>
      </c>
      <c r="D22" s="4" t="s">
        <v>20</v>
      </c>
      <c r="E22" s="3">
        <f t="shared" si="15"/>
        <v>900950.00000000023</v>
      </c>
      <c r="F22" s="3">
        <f t="shared" si="15"/>
        <v>894140.99999999953</v>
      </c>
      <c r="G22" s="3">
        <f t="shared" si="15"/>
        <v>313.00000000000011</v>
      </c>
      <c r="H22" s="3">
        <v>1795743</v>
      </c>
      <c r="I22" s="3">
        <v>556403</v>
      </c>
      <c r="J22" s="3">
        <v>527433</v>
      </c>
      <c r="K22" s="3">
        <v>11</v>
      </c>
      <c r="L22" s="3">
        <f t="shared" ref="L22" si="16">I22+J22+K22</f>
        <v>1083847</v>
      </c>
      <c r="M22" s="3">
        <v>0</v>
      </c>
      <c r="N22" s="3">
        <v>1555</v>
      </c>
      <c r="O22" s="3">
        <f t="shared" ref="O22" si="17">L22+N22</f>
        <v>1085402</v>
      </c>
      <c r="P22" s="3">
        <f>O22/H22*100</f>
        <v>60.443058945517258</v>
      </c>
      <c r="Q22" s="3">
        <v>61.757367223486298</v>
      </c>
      <c r="R22" s="3">
        <v>58.987676440293001</v>
      </c>
      <c r="S22" s="3">
        <v>3.51437699680511</v>
      </c>
      <c r="T22" s="3">
        <f t="shared" si="0"/>
        <v>8.659368294906343E-2</v>
      </c>
      <c r="Z22" s="5"/>
    </row>
    <row r="23" spans="1:26">
      <c r="A23" s="3">
        <v>2024</v>
      </c>
      <c r="B23" s="4" t="s">
        <v>13</v>
      </c>
      <c r="C23" s="3">
        <v>23</v>
      </c>
      <c r="D23" s="4" t="s">
        <v>14</v>
      </c>
      <c r="E23" s="3">
        <v>947832</v>
      </c>
      <c r="F23" s="3">
        <v>902241</v>
      </c>
      <c r="G23" s="3">
        <v>42</v>
      </c>
      <c r="H23" s="3">
        <v>1850115</v>
      </c>
      <c r="I23" s="3">
        <v>642406</v>
      </c>
      <c r="J23" s="3">
        <v>596004</v>
      </c>
      <c r="K23" s="3">
        <v>15</v>
      </c>
      <c r="L23" s="3">
        <v>1238425</v>
      </c>
      <c r="M23" s="3">
        <v>0</v>
      </c>
      <c r="N23" s="3">
        <v>6115</v>
      </c>
      <c r="O23" s="3">
        <v>1244540</v>
      </c>
      <c r="P23" s="3">
        <v>67.27</v>
      </c>
      <c r="Q23" s="3">
        <v>67.78</v>
      </c>
      <c r="R23" s="3">
        <v>66.06</v>
      </c>
      <c r="S23" s="3">
        <v>35.71</v>
      </c>
      <c r="T23" s="3">
        <f t="shared" si="0"/>
        <v>0.33051999470303195</v>
      </c>
      <c r="Z23" s="5"/>
    </row>
    <row r="24" spans="1:26">
      <c r="A24" s="3">
        <v>2019</v>
      </c>
      <c r="B24" s="4" t="s">
        <v>13</v>
      </c>
      <c r="C24" s="3">
        <v>23</v>
      </c>
      <c r="D24" s="4" t="s">
        <v>14</v>
      </c>
      <c r="E24" s="3">
        <f>I24/(Q24/100)</f>
        <v>896905</v>
      </c>
      <c r="F24" s="3">
        <f>J24/(R24/100)</f>
        <v>831913</v>
      </c>
      <c r="G24" s="3">
        <f>K24/(S24/100)</f>
        <v>33</v>
      </c>
      <c r="H24" s="3">
        <v>1728851</v>
      </c>
      <c r="I24" s="3">
        <v>638271</v>
      </c>
      <c r="J24" s="3">
        <v>565962</v>
      </c>
      <c r="K24" s="3">
        <v>3</v>
      </c>
      <c r="L24" s="3">
        <v>1204236</v>
      </c>
      <c r="M24" s="3">
        <f>(0)</f>
        <v>0</v>
      </c>
      <c r="N24" s="3">
        <v>2840</v>
      </c>
      <c r="O24" s="3">
        <v>1207076</v>
      </c>
      <c r="P24" s="3">
        <v>69.819550672672193</v>
      </c>
      <c r="Q24" s="3">
        <v>71.163724140237818</v>
      </c>
      <c r="R24" s="3">
        <v>68.03139270572764</v>
      </c>
      <c r="S24" s="3">
        <v>9.0909090909090917</v>
      </c>
      <c r="T24" s="3">
        <f t="shared" si="0"/>
        <v>0.16427095221045654</v>
      </c>
      <c r="Z24" s="5"/>
    </row>
    <row r="25" spans="1:26">
      <c r="A25" s="3">
        <v>2014</v>
      </c>
      <c r="B25" s="4" t="s">
        <v>13</v>
      </c>
      <c r="C25" s="3">
        <v>23</v>
      </c>
      <c r="D25" s="4" t="s">
        <v>14</v>
      </c>
      <c r="E25" s="3">
        <f>I25/(Q25/100)</f>
        <v>889765.99999999953</v>
      </c>
      <c r="F25" s="3">
        <f>J25/(R25/100)</f>
        <v>794769.00000000035</v>
      </c>
      <c r="G25" s="3">
        <v>0</v>
      </c>
      <c r="H25" s="3">
        <v>1685296</v>
      </c>
      <c r="I25" s="3">
        <v>626618</v>
      </c>
      <c r="J25" s="3">
        <v>540007</v>
      </c>
      <c r="K25" s="3">
        <v>0</v>
      </c>
      <c r="L25" s="3">
        <f t="shared" ref="L25" si="18">I25+J25+K25</f>
        <v>1166625</v>
      </c>
      <c r="M25" s="3">
        <v>0</v>
      </c>
      <c r="N25" s="3">
        <v>1842</v>
      </c>
      <c r="O25" s="3">
        <f t="shared" ref="O25" si="19">L25+N25</f>
        <v>1168467</v>
      </c>
      <c r="P25" s="3">
        <f>O25/H25*100</f>
        <v>69.333042978800165</v>
      </c>
      <c r="Q25" s="3">
        <v>70.425033098590006</v>
      </c>
      <c r="R25" s="3">
        <v>67.945151358445003</v>
      </c>
      <c r="S25" s="3">
        <v>0</v>
      </c>
      <c r="T25" s="3">
        <f t="shared" si="0"/>
        <v>0.10929830724098319</v>
      </c>
      <c r="Z25" s="5"/>
    </row>
    <row r="26" spans="1:26">
      <c r="A26" s="3">
        <v>2024</v>
      </c>
      <c r="B26" s="4" t="s">
        <v>15</v>
      </c>
      <c r="C26" s="3">
        <v>9</v>
      </c>
      <c r="D26" s="4" t="s">
        <v>16</v>
      </c>
      <c r="E26" s="3">
        <v>1125479</v>
      </c>
      <c r="F26" s="3">
        <v>1091630</v>
      </c>
      <c r="G26" s="3">
        <v>196</v>
      </c>
      <c r="H26" s="3">
        <v>2217305</v>
      </c>
      <c r="I26" s="3">
        <v>562632</v>
      </c>
      <c r="J26" s="3">
        <v>512302</v>
      </c>
      <c r="K26" s="3">
        <v>27</v>
      </c>
      <c r="L26" s="3">
        <v>1074961</v>
      </c>
      <c r="M26" s="3">
        <v>0</v>
      </c>
      <c r="N26" s="3">
        <v>6917</v>
      </c>
      <c r="O26" s="3">
        <v>1081878</v>
      </c>
      <c r="P26" s="3">
        <v>48.79</v>
      </c>
      <c r="Q26" s="3">
        <v>49.99</v>
      </c>
      <c r="R26" s="3">
        <v>46.93</v>
      </c>
      <c r="S26" s="3">
        <v>13.78</v>
      </c>
      <c r="T26" s="3">
        <f t="shared" si="0"/>
        <v>0.31195527904370396</v>
      </c>
      <c r="Z26" s="5"/>
    </row>
    <row r="27" spans="1:26">
      <c r="A27" s="3">
        <v>2019</v>
      </c>
      <c r="B27" s="4" t="s">
        <v>15</v>
      </c>
      <c r="C27" s="3">
        <v>9</v>
      </c>
      <c r="D27" s="4" t="s">
        <v>16</v>
      </c>
      <c r="E27" s="3">
        <f>I27/(Q27/100)</f>
        <v>1012522</v>
      </c>
      <c r="F27" s="3">
        <f>J27/(R27/100)</f>
        <v>945277</v>
      </c>
      <c r="G27" s="3">
        <f>K27/(S27/100)</f>
        <v>132</v>
      </c>
      <c r="H27" s="3">
        <v>1957931</v>
      </c>
      <c r="I27" s="3">
        <v>479564</v>
      </c>
      <c r="J27" s="3">
        <v>397698</v>
      </c>
      <c r="K27" s="3">
        <v>5</v>
      </c>
      <c r="L27" s="3">
        <v>877267</v>
      </c>
      <c r="M27" s="3">
        <f>(0)</f>
        <v>0</v>
      </c>
      <c r="N27" s="3">
        <v>674</v>
      </c>
      <c r="O27" s="3">
        <v>877941</v>
      </c>
      <c r="P27" s="3">
        <v>44.840242071860551</v>
      </c>
      <c r="Q27" s="3">
        <v>47.363316550158913</v>
      </c>
      <c r="R27" s="3">
        <v>42.07211219568444</v>
      </c>
      <c r="S27" s="3">
        <v>3.7878787878787881</v>
      </c>
      <c r="T27" s="3">
        <f t="shared" si="0"/>
        <v>3.4424093596761074E-2</v>
      </c>
      <c r="Z27" s="5"/>
    </row>
    <row r="28" spans="1:26">
      <c r="A28" s="3">
        <v>2014</v>
      </c>
      <c r="B28" s="4" t="s">
        <v>15</v>
      </c>
      <c r="C28" s="3">
        <v>9</v>
      </c>
      <c r="D28" s="4" t="s">
        <v>16</v>
      </c>
      <c r="E28" s="3">
        <f>I28/(Q28/100)</f>
        <v>960169.00000000035</v>
      </c>
      <c r="F28" s="3">
        <f>J28/(R28/100)</f>
        <v>862338.99999999977</v>
      </c>
      <c r="G28" s="3">
        <v>0</v>
      </c>
      <c r="H28" s="3">
        <v>1823217</v>
      </c>
      <c r="I28" s="3">
        <v>525811</v>
      </c>
      <c r="J28" s="3">
        <v>445415</v>
      </c>
      <c r="K28" s="3">
        <v>0</v>
      </c>
      <c r="L28" s="3">
        <f t="shared" ref="L28" si="20">I28+J28+K28</f>
        <v>971226</v>
      </c>
      <c r="M28" s="3">
        <v>0</v>
      </c>
      <c r="N28" s="3">
        <v>544</v>
      </c>
      <c r="O28" s="3">
        <f t="shared" ref="O28" si="21">L28+N28</f>
        <v>971770</v>
      </c>
      <c r="P28" s="3">
        <f>O28/H28*100</f>
        <v>53.299744352976084</v>
      </c>
      <c r="Q28" s="3">
        <v>54.762338713288997</v>
      </c>
      <c r="R28" s="3">
        <v>51.651960539880498</v>
      </c>
      <c r="S28" s="3">
        <v>0</v>
      </c>
      <c r="T28" s="3">
        <f t="shared" si="0"/>
        <v>2.9837369879723588E-2</v>
      </c>
      <c r="Z28" s="5"/>
    </row>
    <row r="29" spans="1:26">
      <c r="A29" s="3">
        <v>2024</v>
      </c>
      <c r="B29" s="4" t="s">
        <v>23</v>
      </c>
      <c r="C29" s="3">
        <v>3</v>
      </c>
      <c r="D29" s="4" t="s">
        <v>17</v>
      </c>
      <c r="E29" s="3">
        <v>1152084</v>
      </c>
      <c r="F29" s="3">
        <v>969422</v>
      </c>
      <c r="G29" s="3">
        <v>104</v>
      </c>
      <c r="H29" s="3">
        <v>2121610</v>
      </c>
      <c r="I29" s="3">
        <v>683033</v>
      </c>
      <c r="J29" s="3">
        <v>578799</v>
      </c>
      <c r="K29" s="3">
        <v>55</v>
      </c>
      <c r="L29" s="3">
        <v>1261887</v>
      </c>
      <c r="M29" s="3">
        <v>0</v>
      </c>
      <c r="N29" s="3">
        <v>2524</v>
      </c>
      <c r="O29" s="3">
        <v>1264411</v>
      </c>
      <c r="P29" s="3">
        <v>59.6</v>
      </c>
      <c r="Q29" s="3">
        <v>59.29</v>
      </c>
      <c r="R29" s="3">
        <v>59.71</v>
      </c>
      <c r="S29" s="3">
        <v>52.88</v>
      </c>
      <c r="T29" s="3">
        <f t="shared" si="0"/>
        <v>0.11896625675783958</v>
      </c>
      <c r="Z29" s="5"/>
    </row>
    <row r="30" spans="1:26">
      <c r="A30" s="3">
        <v>2019</v>
      </c>
      <c r="B30" s="4" t="s">
        <v>23</v>
      </c>
      <c r="C30" s="3">
        <v>3</v>
      </c>
      <c r="D30" s="4" t="s">
        <v>21</v>
      </c>
      <c r="E30" s="3">
        <f t="shared" ref="E30:G31" si="22">I30/(Q30/100)</f>
        <v>1129747</v>
      </c>
      <c r="F30" s="3">
        <f t="shared" si="22"/>
        <v>909476.00000000012</v>
      </c>
      <c r="G30" s="3">
        <f t="shared" si="22"/>
        <v>79.000000000000014</v>
      </c>
      <c r="H30" s="3">
        <v>2039302</v>
      </c>
      <c r="I30" s="3">
        <v>694305</v>
      </c>
      <c r="J30" s="3">
        <v>561981</v>
      </c>
      <c r="K30" s="3">
        <v>28</v>
      </c>
      <c r="L30" s="3">
        <v>1256314</v>
      </c>
      <c r="M30" s="3">
        <f>(0)</f>
        <v>0</v>
      </c>
      <c r="N30" s="3">
        <v>1881</v>
      </c>
      <c r="O30" s="3">
        <v>1258195</v>
      </c>
      <c r="P30" s="3">
        <v>61.697335657004217</v>
      </c>
      <c r="Q30" s="3">
        <v>61.45668012395695</v>
      </c>
      <c r="R30" s="3">
        <v>61.791735021045078</v>
      </c>
      <c r="S30" s="3">
        <v>35.443037974683541</v>
      </c>
      <c r="T30" s="3">
        <f t="shared" si="0"/>
        <v>9.2237442026732674E-2</v>
      </c>
      <c r="Z30" s="5"/>
    </row>
    <row r="31" spans="1:26">
      <c r="A31" s="3">
        <v>2014</v>
      </c>
      <c r="B31" s="4" t="s">
        <v>23</v>
      </c>
      <c r="C31" s="3">
        <v>3</v>
      </c>
      <c r="D31" s="4" t="s">
        <v>21</v>
      </c>
      <c r="E31" s="3">
        <f t="shared" si="22"/>
        <v>1023068.0000000002</v>
      </c>
      <c r="F31" s="3">
        <f t="shared" si="22"/>
        <v>805958.00000000012</v>
      </c>
      <c r="G31" s="3">
        <f t="shared" si="22"/>
        <v>150.99999999999977</v>
      </c>
      <c r="H31" s="3">
        <v>1829572</v>
      </c>
      <c r="I31" s="3">
        <v>676930</v>
      </c>
      <c r="J31" s="3">
        <v>518463</v>
      </c>
      <c r="K31" s="3">
        <v>35</v>
      </c>
      <c r="L31" s="3">
        <f t="shared" ref="L31" si="23">I31+J31+K31</f>
        <v>1195428</v>
      </c>
      <c r="M31" s="3">
        <v>0</v>
      </c>
      <c r="N31" s="3">
        <v>1303</v>
      </c>
      <c r="O31" s="3">
        <f t="shared" ref="O31" si="24">L31+N31</f>
        <v>1196731</v>
      </c>
      <c r="P31" s="3">
        <f>O31/H31*100</f>
        <v>65.41043479021323</v>
      </c>
      <c r="Q31" s="3">
        <v>66.166667318301407</v>
      </c>
      <c r="R31" s="3">
        <v>64.328786363557398</v>
      </c>
      <c r="S31" s="3">
        <v>23.178807947019902</v>
      </c>
      <c r="T31" s="3">
        <f t="shared" si="0"/>
        <v>7.1218842439652555E-2</v>
      </c>
      <c r="Z31" s="5"/>
    </row>
    <row r="33" spans="5:8">
      <c r="E33" s="16"/>
      <c r="F33" s="16"/>
      <c r="G33" s="16"/>
      <c r="H33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BBEB-81B9-4601-B140-14CB244F672E}">
  <dimension ref="A1:G21"/>
  <sheetViews>
    <sheetView workbookViewId="0">
      <selection activeCell="L5" sqref="L5"/>
    </sheetView>
  </sheetViews>
  <sheetFormatPr defaultRowHeight="14.4"/>
  <cols>
    <col min="1" max="1" width="18.88671875" customWidth="1"/>
    <col min="2" max="2" width="20.109375" customWidth="1"/>
    <col min="3" max="3" width="11" customWidth="1"/>
    <col min="6" max="6" width="32.6640625" customWidth="1"/>
    <col min="7" max="7" width="24.77734375" customWidth="1"/>
  </cols>
  <sheetData>
    <row r="1" spans="1:7" ht="28.8" customHeight="1">
      <c r="A1" s="6" t="s">
        <v>41</v>
      </c>
      <c r="B1" s="6" t="s">
        <v>42</v>
      </c>
      <c r="C1" s="6" t="s">
        <v>43</v>
      </c>
      <c r="D1" s="7" t="s">
        <v>44</v>
      </c>
      <c r="E1" s="7"/>
      <c r="F1" s="7"/>
      <c r="G1" s="8" t="s">
        <v>45</v>
      </c>
    </row>
    <row r="2" spans="1:7" ht="28.8" customHeight="1">
      <c r="A2" s="9" t="s">
        <v>2</v>
      </c>
      <c r="B2" s="9" t="s">
        <v>46</v>
      </c>
      <c r="C2" s="9" t="s">
        <v>47</v>
      </c>
      <c r="D2" s="10" t="s">
        <v>48</v>
      </c>
      <c r="E2" s="10"/>
      <c r="F2" s="10"/>
      <c r="G2" s="11"/>
    </row>
    <row r="3" spans="1:7" ht="28.8" customHeight="1">
      <c r="A3" s="12" t="s">
        <v>49</v>
      </c>
      <c r="B3" s="9" t="s">
        <v>50</v>
      </c>
      <c r="C3" s="9" t="s">
        <v>51</v>
      </c>
      <c r="D3" s="10" t="s">
        <v>52</v>
      </c>
      <c r="E3" s="10"/>
      <c r="F3" s="10"/>
      <c r="G3" s="11"/>
    </row>
    <row r="4" spans="1:7" ht="28.8" customHeight="1">
      <c r="A4" s="12" t="s">
        <v>53</v>
      </c>
      <c r="B4" s="9" t="s">
        <v>50</v>
      </c>
      <c r="C4" s="9" t="s">
        <v>47</v>
      </c>
      <c r="D4" s="10" t="s">
        <v>54</v>
      </c>
      <c r="E4" s="10"/>
      <c r="F4" s="10"/>
      <c r="G4" s="11"/>
    </row>
    <row r="5" spans="1:7" ht="28.8" customHeight="1">
      <c r="A5" s="12" t="s">
        <v>39</v>
      </c>
      <c r="B5" s="9" t="s">
        <v>50</v>
      </c>
      <c r="C5" s="9" t="s">
        <v>51</v>
      </c>
      <c r="D5" s="10" t="s">
        <v>55</v>
      </c>
      <c r="E5" s="10"/>
      <c r="F5" s="10"/>
      <c r="G5" s="11"/>
    </row>
    <row r="6" spans="1:7" ht="28.8" customHeight="1">
      <c r="A6" s="12" t="s">
        <v>24</v>
      </c>
      <c r="B6" s="9" t="s">
        <v>56</v>
      </c>
      <c r="C6" s="9" t="s">
        <v>47</v>
      </c>
      <c r="D6" s="10" t="s">
        <v>57</v>
      </c>
      <c r="E6" s="10"/>
      <c r="F6" s="10"/>
      <c r="G6" s="13" t="s">
        <v>58</v>
      </c>
    </row>
    <row r="7" spans="1:7" ht="28.8" customHeight="1">
      <c r="A7" s="12" t="s">
        <v>25</v>
      </c>
      <c r="B7" s="9" t="s">
        <v>56</v>
      </c>
      <c r="C7" s="9" t="s">
        <v>47</v>
      </c>
      <c r="D7" s="10" t="s">
        <v>59</v>
      </c>
      <c r="E7" s="10"/>
      <c r="F7" s="10"/>
      <c r="G7" s="13" t="s">
        <v>60</v>
      </c>
    </row>
    <row r="8" spans="1:7" ht="28.8" customHeight="1">
      <c r="A8" s="12" t="s">
        <v>26</v>
      </c>
      <c r="B8" s="9" t="s">
        <v>56</v>
      </c>
      <c r="C8" s="9" t="s">
        <v>47</v>
      </c>
      <c r="D8" s="10" t="s">
        <v>61</v>
      </c>
      <c r="E8" s="10"/>
      <c r="F8" s="10"/>
      <c r="G8" s="13" t="s">
        <v>62</v>
      </c>
    </row>
    <row r="9" spans="1:7" ht="28.8" customHeight="1">
      <c r="A9" s="12" t="s">
        <v>27</v>
      </c>
      <c r="B9" s="9" t="s">
        <v>56</v>
      </c>
      <c r="C9" s="9" t="s">
        <v>47</v>
      </c>
      <c r="D9" s="10" t="s">
        <v>63</v>
      </c>
      <c r="E9" s="10"/>
      <c r="F9" s="10"/>
      <c r="G9" s="11"/>
    </row>
    <row r="10" spans="1:7" ht="28.8" customHeight="1">
      <c r="A10" s="12" t="s">
        <v>28</v>
      </c>
      <c r="B10" s="9" t="s">
        <v>56</v>
      </c>
      <c r="C10" s="9" t="s">
        <v>47</v>
      </c>
      <c r="D10" s="10" t="s">
        <v>64</v>
      </c>
      <c r="E10" s="10"/>
      <c r="F10" s="10"/>
      <c r="G10" s="11"/>
    </row>
    <row r="11" spans="1:7" ht="28.8" customHeight="1">
      <c r="A11" s="12" t="s">
        <v>29</v>
      </c>
      <c r="B11" s="9" t="s">
        <v>56</v>
      </c>
      <c r="C11" s="9" t="s">
        <v>47</v>
      </c>
      <c r="D11" s="10" t="s">
        <v>65</v>
      </c>
      <c r="E11" s="10"/>
      <c r="F11" s="10"/>
      <c r="G11" s="11"/>
    </row>
    <row r="12" spans="1:7" ht="28.8" customHeight="1">
      <c r="A12" s="12" t="s">
        <v>30</v>
      </c>
      <c r="B12" s="9" t="s">
        <v>56</v>
      </c>
      <c r="C12" s="9" t="s">
        <v>47</v>
      </c>
      <c r="D12" s="10" t="s">
        <v>66</v>
      </c>
      <c r="E12" s="10"/>
      <c r="F12" s="10"/>
      <c r="G12" s="11"/>
    </row>
    <row r="13" spans="1:7" ht="28.8" customHeight="1">
      <c r="A13" s="12" t="s">
        <v>31</v>
      </c>
      <c r="B13" s="9" t="s">
        <v>56</v>
      </c>
      <c r="C13" s="9" t="s">
        <v>47</v>
      </c>
      <c r="D13" s="10" t="s">
        <v>67</v>
      </c>
      <c r="E13" s="10"/>
      <c r="F13" s="10"/>
      <c r="G13" s="11"/>
    </row>
    <row r="14" spans="1:7" ht="28.8" customHeight="1">
      <c r="A14" s="12" t="s">
        <v>1</v>
      </c>
      <c r="B14" s="9" t="s">
        <v>56</v>
      </c>
      <c r="C14" s="9" t="s">
        <v>47</v>
      </c>
      <c r="D14" s="10" t="s">
        <v>68</v>
      </c>
      <c r="E14" s="10"/>
      <c r="F14" s="10"/>
      <c r="G14" s="11"/>
    </row>
    <row r="15" spans="1:7" ht="28.8" customHeight="1">
      <c r="A15" s="12" t="s">
        <v>32</v>
      </c>
      <c r="B15" s="9" t="s">
        <v>56</v>
      </c>
      <c r="C15" s="9" t="s">
        <v>47</v>
      </c>
      <c r="D15" s="10" t="s">
        <v>69</v>
      </c>
      <c r="E15" s="10"/>
      <c r="F15" s="10"/>
      <c r="G15" s="11"/>
    </row>
    <row r="16" spans="1:7" ht="28.8" customHeight="1">
      <c r="A16" s="12" t="s">
        <v>40</v>
      </c>
      <c r="B16" s="9" t="s">
        <v>56</v>
      </c>
      <c r="C16" s="9" t="s">
        <v>47</v>
      </c>
      <c r="D16" s="10" t="s">
        <v>70</v>
      </c>
      <c r="E16" s="10"/>
      <c r="F16" s="10"/>
      <c r="G16" s="11"/>
    </row>
    <row r="17" spans="1:7" ht="28.8" customHeight="1">
      <c r="A17" s="14" t="s">
        <v>33</v>
      </c>
      <c r="B17" s="9" t="s">
        <v>71</v>
      </c>
      <c r="C17" s="9" t="s">
        <v>72</v>
      </c>
      <c r="D17" s="10" t="s">
        <v>73</v>
      </c>
      <c r="E17" s="10"/>
      <c r="F17" s="10"/>
      <c r="G17" s="11"/>
    </row>
    <row r="18" spans="1:7" ht="28.8" customHeight="1">
      <c r="A18" s="14" t="s">
        <v>34</v>
      </c>
      <c r="B18" s="9" t="s">
        <v>71</v>
      </c>
      <c r="C18" s="9" t="s">
        <v>72</v>
      </c>
      <c r="D18" s="10" t="s">
        <v>74</v>
      </c>
      <c r="E18" s="10"/>
      <c r="F18" s="10"/>
      <c r="G18" s="11"/>
    </row>
    <row r="19" spans="1:7" ht="28.8" customHeight="1">
      <c r="A19" s="14" t="s">
        <v>35</v>
      </c>
      <c r="B19" s="9" t="s">
        <v>71</v>
      </c>
      <c r="C19" s="9" t="s">
        <v>72</v>
      </c>
      <c r="D19" s="10" t="s">
        <v>75</v>
      </c>
      <c r="E19" s="10"/>
      <c r="F19" s="10"/>
      <c r="G19" s="11"/>
    </row>
    <row r="20" spans="1:7" ht="28.8" customHeight="1">
      <c r="A20" s="14" t="s">
        <v>36</v>
      </c>
      <c r="B20" s="9" t="s">
        <v>71</v>
      </c>
      <c r="C20" s="9" t="s">
        <v>72</v>
      </c>
      <c r="D20" s="10" t="s">
        <v>76</v>
      </c>
      <c r="E20" s="10"/>
      <c r="F20" s="10"/>
      <c r="G20" s="11"/>
    </row>
    <row r="21" spans="1:7" ht="28.8" customHeight="1">
      <c r="A21" s="14" t="s">
        <v>37</v>
      </c>
      <c r="B21" s="9" t="s">
        <v>71</v>
      </c>
      <c r="C21" s="9" t="s">
        <v>72</v>
      </c>
      <c r="D21" s="10" t="s">
        <v>77</v>
      </c>
      <c r="E21" s="10"/>
      <c r="F21" s="10"/>
      <c r="G21" s="15" t="s">
        <v>78</v>
      </c>
    </row>
  </sheetData>
  <mergeCells count="21">
    <mergeCell ref="D19:F19"/>
    <mergeCell ref="D20:F20"/>
    <mergeCell ref="D21:F21"/>
    <mergeCell ref="D13:F13"/>
    <mergeCell ref="D14:F14"/>
    <mergeCell ref="D15:F15"/>
    <mergeCell ref="D16:F16"/>
    <mergeCell ref="D17:F17"/>
    <mergeCell ref="D18:F18"/>
    <mergeCell ref="D7:F7"/>
    <mergeCell ref="D8:F8"/>
    <mergeCell ref="D9:F9"/>
    <mergeCell ref="D10:F10"/>
    <mergeCell ref="D11:F11"/>
    <mergeCell ref="D12:F12"/>
    <mergeCell ref="D1:F1"/>
    <mergeCell ref="D2:F2"/>
    <mergeCell ref="D3:F3"/>
    <mergeCell ref="D4:F4"/>
    <mergeCell ref="D5:F5"/>
    <mergeCell ref="D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VariableTypes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Pallak Sinha</dc:creator>
  <cp:lastModifiedBy>Pallak Sinha</cp:lastModifiedBy>
  <dcterms:created xsi:type="dcterms:W3CDTF">2015-06-05T18:17:20Z</dcterms:created>
  <dcterms:modified xsi:type="dcterms:W3CDTF">2025-12-01T19:39:37Z</dcterms:modified>
</cp:coreProperties>
</file>